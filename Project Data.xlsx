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310" activeTab="1"/>
  </bookViews>
  <sheets>
    <sheet name="Sheet1" sheetId="1" r:id="rId1"/>
    <sheet name="YA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2" l="1"/>
  <c r="G20" i="2"/>
  <c r="G19" i="2"/>
  <c r="G18" i="2"/>
  <c r="G17" i="2"/>
  <c r="G16" i="2"/>
  <c r="G15" i="2"/>
  <c r="G14" i="2"/>
  <c r="G13" i="2"/>
  <c r="G12" i="2"/>
  <c r="H31" i="2"/>
  <c r="G8" i="2"/>
  <c r="G7" i="2"/>
  <c r="G6" i="2"/>
  <c r="G5" i="2"/>
  <c r="G4" i="2"/>
  <c r="H32" i="2"/>
  <c r="H30" i="2"/>
  <c r="B41" i="1" l="1"/>
  <c r="B40" i="1"/>
  <c r="B39" i="1"/>
  <c r="B38" i="1"/>
  <c r="B37" i="1"/>
</calcChain>
</file>

<file path=xl/sharedStrings.xml><?xml version="1.0" encoding="utf-8"?>
<sst xmlns="http://schemas.openxmlformats.org/spreadsheetml/2006/main" count="73" uniqueCount="69">
  <si>
    <t>States_Union Territories</t>
  </si>
  <si>
    <t>2000-01-INC</t>
  </si>
  <si>
    <t>2011-12-INC</t>
  </si>
  <si>
    <t>2001 - LIT</t>
  </si>
  <si>
    <t>2011- LIT</t>
  </si>
  <si>
    <t>2001 - POP</t>
  </si>
  <si>
    <t>2011- POP</t>
  </si>
  <si>
    <t>2001 -SEX_Ratio</t>
  </si>
  <si>
    <t>2011 -SEX_Ratio</t>
  </si>
  <si>
    <t>2001 -UNEMP</t>
  </si>
  <si>
    <t>2011 -UNEMP</t>
  </si>
  <si>
    <t>2001 -Poverty</t>
  </si>
  <si>
    <t>2011 -Poverty</t>
  </si>
  <si>
    <t>crime (2001)</t>
  </si>
  <si>
    <t>crime(2011)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</si>
  <si>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</si>
  <si>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</si>
  <si>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</si>
  <si>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</si>
  <si>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</si>
  <si>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</si>
  <si>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</si>
  <si>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</si>
  <si>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</si>
  <si>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</si>
  <si>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</si>
  <si>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</si>
  <si>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</si>
  <si>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</si>
  <si>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</si>
  <si>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</si>
  <si>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</si>
  <si>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</si>
  <si>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</si>
  <si>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</si>
  <si>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</si>
  <si>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</si>
  <si>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</si>
  <si>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</si>
  <si>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</si>
  <si>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</si>
  <si>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</si>
  <si>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</si>
  <si>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</si>
  <si>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</si>
  <si>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</si>
  <si>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</si>
  <si>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Literacy</t>
  </si>
  <si>
    <t>Population</t>
  </si>
  <si>
    <t>Unemployment</t>
  </si>
  <si>
    <t>Poverty</t>
  </si>
  <si>
    <t xml:space="preserve">State Income </t>
  </si>
  <si>
    <t>Relation Between  Crime and Variables</t>
  </si>
  <si>
    <t>Column1</t>
  </si>
  <si>
    <t>Column2</t>
  </si>
  <si>
    <t>Year</t>
  </si>
  <si>
    <t xml:space="preserve"> Crime  Incidence</t>
  </si>
  <si>
    <t>Unemployment Rate (%)</t>
  </si>
  <si>
    <t xml:space="preserve"> Youth Unemployment Rate</t>
  </si>
  <si>
    <t>Crime and Unemployment rate</t>
  </si>
  <si>
    <t>Crime and Literacy rate</t>
  </si>
  <si>
    <t>Crime and Unemployment in Youth</t>
  </si>
  <si>
    <t>Crime and Poverty</t>
  </si>
  <si>
    <t xml:space="preserve">Correlation </t>
  </si>
  <si>
    <t xml:space="preserve">India Literacy Rate </t>
  </si>
  <si>
    <t>Crime rate</t>
  </si>
  <si>
    <t>Literacy Rate</t>
  </si>
  <si>
    <t>India Poverty Rate</t>
  </si>
  <si>
    <t>% Under 450rs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</si>
</sst>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444444"/>
      <name val="Roboto"/>
    </font>
    <font>
      <sz val="12"/>
      <color rgb="FF444444"/>
      <name val="Roboto"/>
    </font>
    <font>
      <b/>
      <sz val="10"/>
      <color rgb="FF444444"/>
      <name val="Arial"/>
      <family val="2"/>
    </font>
    <font>
      <sz val="10"/>
      <color rgb="FF444444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444444"/>
      <name val="Arial"/>
      <family val="2"/>
    </font>
    <font>
      <b/>
      <sz val="14"/>
      <color rgb="FF444444"/>
      <name val="Arial"/>
      <family val="2"/>
    </font>
    <font>
      <sz val="12"/>
      <color theme="1"/>
      <name val="Calibri"/>
      <family val="2"/>
      <scheme val="minor"/>
    </font>
    <font>
      <b/>
      <sz val="10"/>
      <color rgb="FF444444"/>
      <name val="Roboto"/>
    </font>
    <font>
      <sz val="10"/>
      <color rgb="FF444444"/>
      <name val="Roboto"/>
    </font>
    <font>
      <b/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2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10" fontId="4" fillId="4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36:B41" totalsRowShown="0">
  <autoFilter ref="A36:B41"/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opLeftCell="D28" workbookViewId="0">
      <selection activeCell="N2" sqref="N2"/>
    </sheetView>
  </sheetViews>
  <sheetFormatPr defaultRowHeight="14.5"/>
  <cols>
    <col min="1" max="1" width="20.90625" customWidth="1"/>
    <col min="2" max="2" width="13.6328125" customWidth="1"/>
    <col min="3" max="3" width="13.90625" customWidth="1"/>
    <col min="4" max="4" width="13.54296875" customWidth="1"/>
    <col min="5" max="5" width="13.81640625" customWidth="1"/>
    <col min="6" max="6" width="14.36328125" customWidth="1"/>
    <col min="7" max="7" width="14.81640625" customWidth="1"/>
    <col min="8" max="8" width="15.54296875" customWidth="1"/>
    <col min="9" max="9" width="14" customWidth="1"/>
    <col min="10" max="10" width="14.7265625" customWidth="1"/>
    <col min="11" max="11" width="13.08984375" customWidth="1"/>
    <col min="12" max="12" width="15.26953125" customWidth="1"/>
    <col min="13" max="13" width="12.7265625" customWidth="1"/>
    <col min="14" max="14" width="13.36328125" customWidth="1"/>
  </cols>
  <sheetData>
    <row r="1" spans="1:1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</row>
    <row r="2" spans="1:15">
      <c r="A2" t="s">
        <v>15</v>
      </c>
      <c r="B2">
        <v>25047</v>
      </c>
      <c r="C2">
        <v>89642</v>
      </c>
      <c r="D2">
        <v>81.3</v>
      </c>
      <c r="E2">
        <v>86.63</v>
      </c>
      <c r="F2">
        <v>356152</v>
      </c>
      <c r="G2">
        <v>380581</v>
      </c>
      <c r="H2">
        <v>846</v>
      </c>
      <c r="I2">
        <v>876</v>
      </c>
      <c r="J2">
        <v>34</v>
      </c>
      <c r="K2">
        <v>54</v>
      </c>
      <c r="L2">
        <v>20.99</v>
      </c>
      <c r="M2">
        <v>1</v>
      </c>
      <c r="N2">
        <v>0</v>
      </c>
    </row>
    <row r="3" spans="1:15">
      <c r="A3" t="s">
        <v>16</v>
      </c>
      <c r="B3">
        <v>17195</v>
      </c>
      <c r="C3">
        <v>64773</v>
      </c>
      <c r="D3">
        <v>60.47</v>
      </c>
      <c r="E3">
        <v>67.02</v>
      </c>
      <c r="F3">
        <v>76210007</v>
      </c>
      <c r="G3">
        <v>84580777</v>
      </c>
      <c r="H3">
        <v>978</v>
      </c>
      <c r="I3">
        <v>993</v>
      </c>
      <c r="J3">
        <v>8</v>
      </c>
      <c r="K3">
        <v>12</v>
      </c>
      <c r="L3">
        <v>15.77</v>
      </c>
      <c r="M3">
        <v>9.1999999999999993</v>
      </c>
      <c r="N3">
        <v>270</v>
      </c>
    </row>
    <row r="4" spans="1:15">
      <c r="A4" t="s">
        <v>17</v>
      </c>
      <c r="B4">
        <v>15260</v>
      </c>
      <c r="C4">
        <v>71366</v>
      </c>
      <c r="D4">
        <v>54.34</v>
      </c>
      <c r="E4">
        <v>65.39</v>
      </c>
      <c r="F4">
        <v>1097968</v>
      </c>
      <c r="G4">
        <v>1383727</v>
      </c>
      <c r="H4">
        <v>893</v>
      </c>
      <c r="I4">
        <v>938</v>
      </c>
      <c r="J4">
        <v>5</v>
      </c>
      <c r="K4">
        <v>17</v>
      </c>
      <c r="L4">
        <v>33.47</v>
      </c>
      <c r="M4">
        <v>34.67</v>
      </c>
      <c r="N4">
        <v>0</v>
      </c>
    </row>
    <row r="5" spans="1:15">
      <c r="A5" t="s">
        <v>18</v>
      </c>
      <c r="B5">
        <v>12803</v>
      </c>
      <c r="C5">
        <v>36320</v>
      </c>
      <c r="D5">
        <v>63.25</v>
      </c>
      <c r="E5">
        <v>72.19</v>
      </c>
      <c r="F5">
        <v>26655528</v>
      </c>
      <c r="G5">
        <v>31205576</v>
      </c>
      <c r="H5">
        <v>935</v>
      </c>
      <c r="I5">
        <v>958</v>
      </c>
      <c r="J5">
        <v>39</v>
      </c>
      <c r="K5">
        <v>45</v>
      </c>
      <c r="L5">
        <v>36.090000000000003</v>
      </c>
      <c r="M5">
        <v>31.98</v>
      </c>
      <c r="N5">
        <v>18</v>
      </c>
    </row>
    <row r="6" spans="1:15">
      <c r="A6" t="s">
        <v>19</v>
      </c>
      <c r="B6">
        <v>6415</v>
      </c>
      <c r="C6">
        <v>22582</v>
      </c>
      <c r="D6">
        <v>47</v>
      </c>
      <c r="E6">
        <v>61.8</v>
      </c>
      <c r="F6">
        <v>82998509</v>
      </c>
      <c r="G6">
        <v>104099452</v>
      </c>
      <c r="H6">
        <v>919</v>
      </c>
      <c r="I6">
        <v>918</v>
      </c>
      <c r="J6">
        <v>18</v>
      </c>
      <c r="K6">
        <v>32</v>
      </c>
      <c r="L6">
        <v>42.6</v>
      </c>
      <c r="M6">
        <v>33.74</v>
      </c>
      <c r="N6">
        <v>83</v>
      </c>
    </row>
    <row r="7" spans="1:15">
      <c r="A7" t="s">
        <v>20</v>
      </c>
      <c r="B7">
        <v>49771</v>
      </c>
      <c r="C7">
        <v>136883</v>
      </c>
      <c r="D7">
        <v>81.94</v>
      </c>
      <c r="E7">
        <v>86.05</v>
      </c>
      <c r="F7">
        <v>900635</v>
      </c>
      <c r="G7">
        <v>1055450</v>
      </c>
      <c r="H7">
        <v>777</v>
      </c>
      <c r="I7">
        <v>818</v>
      </c>
      <c r="J7">
        <v>7</v>
      </c>
      <c r="K7">
        <v>24</v>
      </c>
      <c r="L7">
        <v>5.75</v>
      </c>
      <c r="M7">
        <v>21.81</v>
      </c>
      <c r="N7">
        <v>58</v>
      </c>
    </row>
    <row r="8" spans="1:15">
      <c r="A8" t="s">
        <v>21</v>
      </c>
      <c r="B8">
        <v>10744</v>
      </c>
      <c r="C8">
        <v>48366</v>
      </c>
      <c r="D8">
        <v>64.66</v>
      </c>
      <c r="E8">
        <v>70.28</v>
      </c>
      <c r="F8">
        <v>20833803</v>
      </c>
      <c r="G8">
        <v>25545198</v>
      </c>
      <c r="H8">
        <v>989</v>
      </c>
      <c r="I8">
        <v>991</v>
      </c>
      <c r="J8">
        <v>16</v>
      </c>
      <c r="K8">
        <v>8</v>
      </c>
      <c r="L8">
        <v>30</v>
      </c>
      <c r="M8">
        <v>39.93</v>
      </c>
      <c r="N8">
        <v>585</v>
      </c>
    </row>
    <row r="9" spans="1:15">
      <c r="A9" t="s">
        <v>22</v>
      </c>
      <c r="B9">
        <v>40678</v>
      </c>
      <c r="C9">
        <v>161446</v>
      </c>
      <c r="D9">
        <v>57.63</v>
      </c>
      <c r="E9">
        <v>76.239999999999995</v>
      </c>
      <c r="F9">
        <v>13850507</v>
      </c>
      <c r="G9">
        <v>16787941</v>
      </c>
      <c r="H9">
        <v>821</v>
      </c>
      <c r="I9">
        <v>868</v>
      </c>
      <c r="J9">
        <v>47</v>
      </c>
      <c r="K9">
        <v>78</v>
      </c>
      <c r="L9">
        <v>8.23</v>
      </c>
      <c r="M9">
        <v>9.91</v>
      </c>
      <c r="N9">
        <v>912</v>
      </c>
    </row>
    <row r="10" spans="1:15">
      <c r="A10" t="s">
        <v>23</v>
      </c>
      <c r="B10">
        <v>43735</v>
      </c>
      <c r="C10">
        <v>211570</v>
      </c>
      <c r="D10">
        <v>78.180000000000007</v>
      </c>
      <c r="E10">
        <v>87.1</v>
      </c>
      <c r="F10">
        <v>1347668</v>
      </c>
      <c r="G10">
        <v>1458545</v>
      </c>
      <c r="H10">
        <v>961</v>
      </c>
      <c r="I10">
        <v>973</v>
      </c>
      <c r="J10">
        <v>93</v>
      </c>
      <c r="K10">
        <v>51</v>
      </c>
      <c r="L10">
        <v>4.4000000000000004</v>
      </c>
      <c r="M10">
        <v>5.09</v>
      </c>
      <c r="N10">
        <v>34</v>
      </c>
    </row>
    <row r="11" spans="1:15">
      <c r="A11" t="s">
        <v>24</v>
      </c>
      <c r="B11">
        <v>18392</v>
      </c>
      <c r="C11">
        <v>85979</v>
      </c>
      <c r="D11">
        <v>81.67</v>
      </c>
      <c r="E11">
        <v>86.21</v>
      </c>
      <c r="F11">
        <v>50671017</v>
      </c>
      <c r="G11">
        <v>60439692</v>
      </c>
      <c r="H11">
        <v>920</v>
      </c>
      <c r="I11">
        <v>919</v>
      </c>
      <c r="J11">
        <v>4</v>
      </c>
      <c r="K11">
        <v>3</v>
      </c>
      <c r="L11">
        <v>14.07</v>
      </c>
      <c r="M11">
        <v>16.63</v>
      </c>
      <c r="N11">
        <v>572</v>
      </c>
    </row>
    <row r="12" spans="1:15">
      <c r="A12" t="s">
        <v>25</v>
      </c>
      <c r="B12">
        <v>25583</v>
      </c>
      <c r="C12">
        <v>106320</v>
      </c>
      <c r="D12">
        <v>82.01</v>
      </c>
      <c r="E12">
        <v>88.7</v>
      </c>
      <c r="F12">
        <v>21144564</v>
      </c>
      <c r="G12">
        <v>25351462</v>
      </c>
      <c r="H12">
        <v>861</v>
      </c>
      <c r="I12">
        <v>879</v>
      </c>
      <c r="J12">
        <v>8</v>
      </c>
      <c r="K12">
        <v>24</v>
      </c>
      <c r="L12">
        <v>8.74</v>
      </c>
      <c r="M12">
        <v>11.16</v>
      </c>
      <c r="N12">
        <v>363</v>
      </c>
    </row>
    <row r="13" spans="1:15">
      <c r="A13" t="s">
        <v>26</v>
      </c>
      <c r="B13">
        <v>22795</v>
      </c>
      <c r="C13">
        <v>75185</v>
      </c>
      <c r="D13">
        <v>69.14</v>
      </c>
      <c r="E13">
        <v>78.03</v>
      </c>
      <c r="F13">
        <v>6077900</v>
      </c>
      <c r="G13">
        <v>6864602</v>
      </c>
      <c r="H13">
        <v>968</v>
      </c>
      <c r="I13">
        <v>972</v>
      </c>
      <c r="J13">
        <v>12</v>
      </c>
      <c r="K13">
        <v>10</v>
      </c>
      <c r="L13">
        <v>7.63</v>
      </c>
      <c r="M13">
        <v>8.06</v>
      </c>
      <c r="N13">
        <v>82</v>
      </c>
    </row>
    <row r="14" spans="1:15">
      <c r="A14" t="s">
        <v>27</v>
      </c>
      <c r="B14">
        <v>14268</v>
      </c>
      <c r="C14">
        <v>46734</v>
      </c>
      <c r="D14">
        <v>67.91</v>
      </c>
      <c r="E14">
        <v>75.55</v>
      </c>
      <c r="F14">
        <v>10143700</v>
      </c>
      <c r="G14">
        <v>12541302</v>
      </c>
      <c r="H14">
        <v>892</v>
      </c>
      <c r="I14">
        <v>889</v>
      </c>
      <c r="J14">
        <v>11</v>
      </c>
      <c r="K14">
        <v>25</v>
      </c>
      <c r="L14">
        <v>3.48</v>
      </c>
      <c r="M14">
        <v>10.35</v>
      </c>
      <c r="N14">
        <v>28</v>
      </c>
    </row>
    <row r="15" spans="1:15">
      <c r="A15" t="s">
        <v>28</v>
      </c>
      <c r="B15">
        <v>10345</v>
      </c>
      <c r="C15">
        <v>36554</v>
      </c>
      <c r="D15">
        <v>76.48</v>
      </c>
      <c r="E15">
        <v>82.8</v>
      </c>
      <c r="F15">
        <v>26945829</v>
      </c>
      <c r="G15">
        <v>32988134</v>
      </c>
      <c r="H15">
        <v>941</v>
      </c>
      <c r="I15">
        <v>948</v>
      </c>
      <c r="J15">
        <v>20</v>
      </c>
      <c r="K15">
        <v>21</v>
      </c>
      <c r="L15">
        <v>32</v>
      </c>
      <c r="M15">
        <v>36.96</v>
      </c>
      <c r="N15">
        <v>41</v>
      </c>
    </row>
    <row r="16" spans="1:15">
      <c r="A16" t="s">
        <v>29</v>
      </c>
      <c r="B16">
        <v>18344</v>
      </c>
      <c r="C16">
        <v>68053</v>
      </c>
      <c r="D16">
        <v>55.52</v>
      </c>
      <c r="E16">
        <v>67.16</v>
      </c>
      <c r="F16">
        <v>52850562</v>
      </c>
      <c r="G16">
        <v>61095297</v>
      </c>
      <c r="H16">
        <v>965</v>
      </c>
      <c r="I16">
        <v>973</v>
      </c>
      <c r="J16">
        <v>7</v>
      </c>
      <c r="K16">
        <v>9</v>
      </c>
      <c r="L16">
        <v>20.04</v>
      </c>
      <c r="M16">
        <v>20.91</v>
      </c>
      <c r="N16">
        <v>72</v>
      </c>
    </row>
    <row r="17" spans="1:14">
      <c r="A17" t="s">
        <v>30</v>
      </c>
      <c r="B17">
        <v>20094</v>
      </c>
      <c r="C17">
        <v>82753</v>
      </c>
      <c r="D17">
        <v>53.56</v>
      </c>
      <c r="E17">
        <v>66.41</v>
      </c>
      <c r="F17">
        <v>31841374</v>
      </c>
      <c r="G17">
        <v>33406061</v>
      </c>
      <c r="H17">
        <v>1058</v>
      </c>
      <c r="I17">
        <v>1084</v>
      </c>
      <c r="J17">
        <v>82</v>
      </c>
      <c r="K17">
        <v>68</v>
      </c>
      <c r="L17">
        <v>12.72</v>
      </c>
      <c r="M17">
        <v>7.05</v>
      </c>
      <c r="N17">
        <v>247</v>
      </c>
    </row>
    <row r="18" spans="1:14">
      <c r="A18" t="s">
        <v>31</v>
      </c>
      <c r="B18">
        <v>11862</v>
      </c>
      <c r="C18">
        <v>37180</v>
      </c>
      <c r="D18">
        <v>66.599999999999994</v>
      </c>
      <c r="E18">
        <v>75.37</v>
      </c>
      <c r="F18">
        <v>60348023</v>
      </c>
      <c r="G18">
        <v>72627809</v>
      </c>
      <c r="H18">
        <v>919</v>
      </c>
      <c r="I18">
        <v>931</v>
      </c>
      <c r="J18">
        <v>5</v>
      </c>
      <c r="K18">
        <v>4</v>
      </c>
      <c r="L18">
        <v>37.43</v>
      </c>
      <c r="M18">
        <v>31.65</v>
      </c>
      <c r="N18">
        <v>1425</v>
      </c>
    </row>
    <row r="19" spans="1:14">
      <c r="A19" t="s">
        <v>32</v>
      </c>
      <c r="B19">
        <v>22777</v>
      </c>
      <c r="C19">
        <v>93282</v>
      </c>
      <c r="D19">
        <v>90.86</v>
      </c>
      <c r="E19">
        <v>94</v>
      </c>
      <c r="F19">
        <v>96878627</v>
      </c>
      <c r="G19">
        <v>112374333</v>
      </c>
      <c r="H19">
        <v>922</v>
      </c>
      <c r="I19">
        <v>929</v>
      </c>
      <c r="J19">
        <v>14</v>
      </c>
      <c r="K19">
        <v>7</v>
      </c>
      <c r="L19">
        <v>25.02</v>
      </c>
      <c r="M19">
        <v>17.350000000000001</v>
      </c>
      <c r="N19">
        <v>1621</v>
      </c>
    </row>
    <row r="20" spans="1:14">
      <c r="A20" t="s">
        <v>33</v>
      </c>
      <c r="B20">
        <v>12369</v>
      </c>
      <c r="C20">
        <v>33695</v>
      </c>
      <c r="D20">
        <v>86.66</v>
      </c>
      <c r="E20">
        <v>91.85</v>
      </c>
      <c r="F20">
        <v>2166788</v>
      </c>
      <c r="G20">
        <v>2855794</v>
      </c>
      <c r="H20">
        <v>978</v>
      </c>
      <c r="I20">
        <v>992</v>
      </c>
      <c r="J20">
        <v>19</v>
      </c>
      <c r="K20">
        <v>26</v>
      </c>
      <c r="L20">
        <v>28.54</v>
      </c>
      <c r="M20">
        <v>36.89</v>
      </c>
      <c r="N20">
        <v>0</v>
      </c>
    </row>
    <row r="21" spans="1:14">
      <c r="A21" t="s">
        <v>34</v>
      </c>
      <c r="B21">
        <v>15657</v>
      </c>
      <c r="C21">
        <v>50316</v>
      </c>
      <c r="D21">
        <v>63.74</v>
      </c>
      <c r="E21">
        <v>69.319999999999993</v>
      </c>
      <c r="F21">
        <v>2318822</v>
      </c>
      <c r="G21">
        <v>2966889</v>
      </c>
      <c r="H21">
        <v>972</v>
      </c>
      <c r="I21">
        <v>989</v>
      </c>
      <c r="J21">
        <v>4</v>
      </c>
      <c r="K21">
        <v>4</v>
      </c>
      <c r="L21">
        <v>33.869999999999997</v>
      </c>
      <c r="M21">
        <v>11.87</v>
      </c>
      <c r="N21">
        <v>0</v>
      </c>
    </row>
    <row r="22" spans="1:14">
      <c r="A22" t="s">
        <v>35</v>
      </c>
      <c r="B22">
        <v>17826</v>
      </c>
      <c r="C22">
        <v>53624</v>
      </c>
      <c r="D22">
        <v>76.88</v>
      </c>
      <c r="E22">
        <v>82.34</v>
      </c>
      <c r="F22">
        <v>888573</v>
      </c>
      <c r="G22">
        <v>1097206</v>
      </c>
      <c r="H22">
        <v>935</v>
      </c>
      <c r="I22">
        <v>976</v>
      </c>
      <c r="J22">
        <v>9</v>
      </c>
      <c r="K22">
        <v>18</v>
      </c>
      <c r="L22">
        <v>19.47</v>
      </c>
      <c r="M22">
        <v>20.399999999999999</v>
      </c>
      <c r="N22">
        <v>0</v>
      </c>
    </row>
    <row r="23" spans="1:14">
      <c r="A23" t="s">
        <v>36</v>
      </c>
      <c r="B23">
        <v>16253</v>
      </c>
      <c r="C23">
        <v>63781</v>
      </c>
      <c r="D23">
        <v>70.5</v>
      </c>
      <c r="E23">
        <v>76.900000000000006</v>
      </c>
      <c r="F23">
        <v>1990036</v>
      </c>
      <c r="G23">
        <v>1978502</v>
      </c>
      <c r="H23">
        <v>900</v>
      </c>
      <c r="I23">
        <v>931</v>
      </c>
      <c r="J23">
        <v>24</v>
      </c>
      <c r="K23">
        <v>151</v>
      </c>
      <c r="L23">
        <v>32.67</v>
      </c>
      <c r="M23">
        <v>18.88</v>
      </c>
      <c r="N23">
        <v>0</v>
      </c>
    </row>
    <row r="24" spans="1:14">
      <c r="A24" t="s">
        <v>37</v>
      </c>
      <c r="B24">
        <v>10453</v>
      </c>
      <c r="C24">
        <v>43463</v>
      </c>
      <c r="D24">
        <v>62.56</v>
      </c>
      <c r="E24">
        <v>74.430000000000007</v>
      </c>
      <c r="F24">
        <v>36804660</v>
      </c>
      <c r="G24">
        <v>41974218</v>
      </c>
      <c r="H24">
        <v>972</v>
      </c>
      <c r="I24">
        <v>979</v>
      </c>
      <c r="J24">
        <v>19</v>
      </c>
      <c r="K24">
        <v>22</v>
      </c>
      <c r="L24">
        <v>47.15</v>
      </c>
      <c r="M24">
        <v>32.590000000000003</v>
      </c>
      <c r="N24">
        <v>68</v>
      </c>
    </row>
    <row r="25" spans="1:14">
      <c r="A25" t="s">
        <v>38</v>
      </c>
      <c r="B25">
        <v>35994</v>
      </c>
      <c r="C25">
        <v>103149</v>
      </c>
      <c r="D25">
        <v>88.8</v>
      </c>
      <c r="E25">
        <v>91.33</v>
      </c>
      <c r="F25">
        <v>974345</v>
      </c>
      <c r="G25">
        <v>1247953</v>
      </c>
      <c r="H25">
        <v>1001</v>
      </c>
      <c r="I25">
        <v>1037</v>
      </c>
      <c r="J25">
        <v>40</v>
      </c>
      <c r="K25">
        <v>8</v>
      </c>
      <c r="L25">
        <v>21.67</v>
      </c>
      <c r="M25">
        <v>9.69</v>
      </c>
      <c r="N25">
        <v>5</v>
      </c>
    </row>
    <row r="26" spans="1:14">
      <c r="A26" t="s">
        <v>39</v>
      </c>
      <c r="B26">
        <v>27881</v>
      </c>
      <c r="C26">
        <v>76895</v>
      </c>
      <c r="D26">
        <v>66.59</v>
      </c>
      <c r="E26">
        <v>79.599999999999994</v>
      </c>
      <c r="F26">
        <v>2435899</v>
      </c>
      <c r="G26">
        <v>27743338</v>
      </c>
      <c r="H26">
        <v>876</v>
      </c>
      <c r="I26">
        <v>895</v>
      </c>
      <c r="J26">
        <v>18</v>
      </c>
      <c r="K26">
        <v>19</v>
      </c>
      <c r="L26">
        <v>6.16</v>
      </c>
      <c r="M26">
        <v>8.26</v>
      </c>
      <c r="N26">
        <v>123</v>
      </c>
    </row>
    <row r="27" spans="1:14">
      <c r="A27" t="s">
        <v>40</v>
      </c>
      <c r="B27">
        <v>13020</v>
      </c>
      <c r="C27">
        <v>54637</v>
      </c>
      <c r="D27">
        <v>63.08</v>
      </c>
      <c r="E27">
        <v>72.89</v>
      </c>
      <c r="F27">
        <v>5650788</v>
      </c>
      <c r="G27">
        <v>68548437</v>
      </c>
      <c r="H27">
        <v>921</v>
      </c>
      <c r="I27">
        <v>928</v>
      </c>
      <c r="J27">
        <v>4</v>
      </c>
      <c r="K27">
        <v>7</v>
      </c>
      <c r="L27">
        <v>15.28</v>
      </c>
      <c r="M27">
        <v>14.71</v>
      </c>
      <c r="N27">
        <v>218</v>
      </c>
    </row>
    <row r="28" spans="1:14">
      <c r="A28" t="s">
        <v>41</v>
      </c>
      <c r="B28">
        <v>16077</v>
      </c>
      <c r="C28">
        <v>130127</v>
      </c>
      <c r="D28">
        <v>81.239999999999995</v>
      </c>
      <c r="E28">
        <v>85.85</v>
      </c>
      <c r="F28">
        <v>540851</v>
      </c>
      <c r="G28">
        <v>610577</v>
      </c>
      <c r="H28">
        <v>875</v>
      </c>
      <c r="I28">
        <v>890</v>
      </c>
      <c r="J28">
        <v>28</v>
      </c>
      <c r="K28">
        <v>10</v>
      </c>
      <c r="L28">
        <v>36.549999999999997</v>
      </c>
      <c r="M28">
        <v>8.19</v>
      </c>
      <c r="N28">
        <v>5</v>
      </c>
    </row>
    <row r="29" spans="1:14">
      <c r="A29" t="s">
        <v>42</v>
      </c>
      <c r="B29">
        <v>20972</v>
      </c>
      <c r="C29">
        <v>89050</v>
      </c>
      <c r="D29">
        <v>69.650000000000006</v>
      </c>
      <c r="E29">
        <v>75.84</v>
      </c>
      <c r="F29">
        <v>62405679</v>
      </c>
      <c r="G29">
        <v>72147030</v>
      </c>
      <c r="H29">
        <v>987</v>
      </c>
      <c r="I29">
        <v>996</v>
      </c>
      <c r="J29">
        <v>20</v>
      </c>
      <c r="K29">
        <v>20</v>
      </c>
      <c r="L29">
        <v>21.12</v>
      </c>
      <c r="M29">
        <v>11.28</v>
      </c>
      <c r="N29">
        <v>61</v>
      </c>
    </row>
    <row r="30" spans="1:14">
      <c r="A30" t="s">
        <v>43</v>
      </c>
      <c r="B30">
        <v>15983</v>
      </c>
      <c r="C30">
        <v>50859</v>
      </c>
      <c r="D30">
        <v>68.81</v>
      </c>
      <c r="E30">
        <v>81.42</v>
      </c>
      <c r="F30">
        <v>3199203</v>
      </c>
      <c r="G30">
        <v>3673917</v>
      </c>
      <c r="H30">
        <v>948</v>
      </c>
      <c r="I30">
        <v>960</v>
      </c>
      <c r="J30">
        <v>12</v>
      </c>
      <c r="K30">
        <v>105</v>
      </c>
      <c r="L30">
        <v>34.44</v>
      </c>
      <c r="M30">
        <v>14.05</v>
      </c>
      <c r="N30">
        <v>0</v>
      </c>
    </row>
    <row r="31" spans="1:14">
      <c r="A31" t="s">
        <v>44</v>
      </c>
      <c r="B31">
        <v>9828</v>
      </c>
      <c r="C31">
        <v>30021</v>
      </c>
      <c r="D31">
        <v>73.45</v>
      </c>
      <c r="E31">
        <v>80.09</v>
      </c>
      <c r="F31">
        <v>166197921</v>
      </c>
      <c r="G31">
        <v>199812341</v>
      </c>
      <c r="H31">
        <v>898</v>
      </c>
      <c r="I31">
        <v>912</v>
      </c>
      <c r="J31">
        <v>8</v>
      </c>
      <c r="K31">
        <v>9</v>
      </c>
      <c r="L31">
        <v>31.15</v>
      </c>
      <c r="M31">
        <v>29.43</v>
      </c>
      <c r="N31">
        <v>3709</v>
      </c>
    </row>
    <row r="32" spans="1:14">
      <c r="A32" t="s">
        <v>45</v>
      </c>
      <c r="B32">
        <v>15285</v>
      </c>
      <c r="C32">
        <v>85372</v>
      </c>
      <c r="D32">
        <v>73.19</v>
      </c>
      <c r="E32">
        <v>87.22</v>
      </c>
      <c r="F32">
        <v>8489349</v>
      </c>
      <c r="G32">
        <v>10086292</v>
      </c>
      <c r="H32">
        <v>962</v>
      </c>
      <c r="I32">
        <v>963</v>
      </c>
      <c r="J32">
        <v>22</v>
      </c>
      <c r="K32">
        <v>25</v>
      </c>
      <c r="L32">
        <v>10.56</v>
      </c>
      <c r="M32">
        <v>11.26</v>
      </c>
      <c r="N32">
        <v>46</v>
      </c>
    </row>
    <row r="33" spans="1:14">
      <c r="A33" t="s">
        <v>46</v>
      </c>
      <c r="B33">
        <v>16583</v>
      </c>
      <c r="C33">
        <v>53383</v>
      </c>
      <c r="D33">
        <v>56.27</v>
      </c>
      <c r="E33">
        <v>67.680000000000007</v>
      </c>
      <c r="F33">
        <v>80176197</v>
      </c>
      <c r="G33">
        <v>91276115</v>
      </c>
      <c r="H33">
        <v>934</v>
      </c>
      <c r="I33">
        <v>950</v>
      </c>
      <c r="J33">
        <v>28</v>
      </c>
      <c r="K33">
        <v>27</v>
      </c>
      <c r="L33">
        <v>27.02</v>
      </c>
      <c r="M33">
        <v>19.98</v>
      </c>
      <c r="N33">
        <v>167</v>
      </c>
    </row>
    <row r="35" spans="1:14">
      <c r="A35" s="38" t="s">
        <v>52</v>
      </c>
      <c r="B35" s="38"/>
    </row>
    <row r="36" spans="1:14">
      <c r="A36" t="s">
        <v>53</v>
      </c>
      <c r="B36" t="s">
        <v>54</v>
      </c>
    </row>
    <row r="37" spans="1:14">
      <c r="A37" t="s">
        <v>47</v>
      </c>
      <c r="B37">
        <f>CORREL(E2:E33,N2:N33)</f>
        <v>0.10161413292626718</v>
      </c>
    </row>
    <row r="38" spans="1:14">
      <c r="A38" t="s">
        <v>48</v>
      </c>
      <c r="B38">
        <f>CORREL(F2:F33,N2:N33)</f>
        <v>0.75834551275923401</v>
      </c>
    </row>
    <row r="39" spans="1:14">
      <c r="A39" t="s">
        <v>49</v>
      </c>
      <c r="B39">
        <f>CORREL(J2:J33,N2:N33)</f>
        <v>-0.15313755566887646</v>
      </c>
    </row>
    <row r="40" spans="1:14">
      <c r="A40" t="s">
        <v>50</v>
      </c>
      <c r="B40">
        <f>CORREL(L2:L33,N2:N33)</f>
        <v>0.10915069585540471</v>
      </c>
    </row>
    <row r="41" spans="1:14">
      <c r="A41" t="s">
        <v>51</v>
      </c>
      <c r="B41">
        <f>CORREL(B2:B33,N2:N33)</f>
        <v>-0.12421046388316842</v>
      </c>
    </row>
  </sheetData>
  <mergeCells count="1">
    <mergeCell ref="A35:B35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zoomScaleNormal="100" workbookViewId="0">
      <selection activeCell="H15" sqref="H15"/>
    </sheetView>
  </sheetViews>
  <sheetFormatPr defaultRowHeight="14.5"/>
  <cols>
    <col min="2" max="2" width="16.26953125" customWidth="1"/>
    <col min="3" max="3" width="14.7265625" customWidth="1"/>
    <col min="4" max="4" width="15" customWidth="1"/>
    <col min="5" max="5" width="17.453125" customWidth="1"/>
    <col min="7" max="7" width="43.08984375" customWidth="1"/>
    <col min="8" max="8" width="24.1796875" customWidth="1"/>
  </cols>
  <sheetData>
    <row r="1" spans="1:9" ht="39">
      <c r="A1" s="41" t="s">
        <v>55</v>
      </c>
      <c r="B1" s="36" t="s">
        <v>48</v>
      </c>
      <c r="C1" s="36" t="s">
        <v>56</v>
      </c>
      <c r="D1" s="36" t="s">
        <v>57</v>
      </c>
      <c r="E1" s="37" t="s">
        <v>58</v>
      </c>
    </row>
    <row r="2" spans="1:9" ht="18">
      <c r="A2" s="5">
        <v>2024</v>
      </c>
      <c r="B2" s="7">
        <v>1441719852</v>
      </c>
      <c r="C2" s="12"/>
      <c r="D2" s="12"/>
      <c r="E2" s="12"/>
      <c r="G2" s="35" t="s">
        <v>64</v>
      </c>
      <c r="H2" s="32"/>
      <c r="I2" s="33"/>
    </row>
    <row r="3" spans="1:9" ht="15.5">
      <c r="A3" s="6">
        <v>2023</v>
      </c>
      <c r="B3" s="8">
        <v>1428627663</v>
      </c>
      <c r="C3" s="12"/>
      <c r="D3" s="12"/>
      <c r="E3" s="12"/>
      <c r="G3" s="29" t="s">
        <v>65</v>
      </c>
      <c r="H3" s="24" t="s">
        <v>66</v>
      </c>
      <c r="I3" s="24" t="s">
        <v>55</v>
      </c>
    </row>
    <row r="4" spans="1:9" ht="15.5">
      <c r="A4" s="5">
        <v>2022</v>
      </c>
      <c r="B4" s="7">
        <v>1417173173</v>
      </c>
      <c r="C4" s="11">
        <v>3561379</v>
      </c>
      <c r="D4" s="13">
        <v>7.3300000000000004E-2</v>
      </c>
      <c r="E4" s="16">
        <v>0.23219999999999999</v>
      </c>
      <c r="G4" s="22">
        <f>C7</f>
        <v>3225597</v>
      </c>
      <c r="H4" s="26">
        <v>0.74370000000000003</v>
      </c>
      <c r="I4" s="25">
        <v>2018</v>
      </c>
    </row>
    <row r="5" spans="1:9" ht="15.5">
      <c r="A5" s="6">
        <v>2021</v>
      </c>
      <c r="B5" s="8">
        <v>1407563842</v>
      </c>
      <c r="C5" s="9">
        <v>3663360</v>
      </c>
      <c r="D5" s="14">
        <v>7.7100000000000002E-2</v>
      </c>
      <c r="E5" s="17">
        <v>0.2389</v>
      </c>
      <c r="G5" s="21">
        <f>C14</f>
        <v>2387188</v>
      </c>
      <c r="H5" s="28">
        <v>0.69299999999999995</v>
      </c>
      <c r="I5" s="27">
        <v>2011</v>
      </c>
    </row>
    <row r="6" spans="1:9" ht="15.5">
      <c r="A6" s="5">
        <v>2020</v>
      </c>
      <c r="B6" s="7">
        <v>1396387127</v>
      </c>
      <c r="C6" s="10">
        <v>4254356</v>
      </c>
      <c r="D6" s="13">
        <v>0.10199999999999999</v>
      </c>
      <c r="E6" s="16">
        <v>0.309</v>
      </c>
      <c r="G6" s="22">
        <f>C19</f>
        <v>1989673</v>
      </c>
      <c r="H6" s="26">
        <v>0.62749999999999995</v>
      </c>
      <c r="I6" s="25">
        <v>2006</v>
      </c>
    </row>
    <row r="7" spans="1:9" ht="15.5">
      <c r="A7" s="6">
        <v>2019</v>
      </c>
      <c r="B7" s="8">
        <v>1383112050</v>
      </c>
      <c r="C7" s="9">
        <v>3225597</v>
      </c>
      <c r="D7" s="14">
        <v>6.5100000000000005E-2</v>
      </c>
      <c r="E7" s="17">
        <v>0.22889999999999999</v>
      </c>
      <c r="G7" s="21">
        <f>C24</f>
        <v>1780330</v>
      </c>
      <c r="H7" s="28">
        <v>0.61009999999999998</v>
      </c>
      <c r="I7" s="27">
        <v>2001</v>
      </c>
    </row>
    <row r="8" spans="1:9" ht="15.5">
      <c r="A8" s="5">
        <v>2018</v>
      </c>
      <c r="B8" s="7">
        <v>1369003306</v>
      </c>
      <c r="C8" s="10">
        <v>3132955</v>
      </c>
      <c r="D8" s="13">
        <v>7.6499999999999999E-2</v>
      </c>
      <c r="E8" s="16">
        <v>0.26350000000000001</v>
      </c>
      <c r="G8" s="21">
        <f>C34</f>
        <v>1689341</v>
      </c>
      <c r="H8" s="26">
        <v>0.48220000000000002</v>
      </c>
      <c r="I8" s="25">
        <v>1991</v>
      </c>
    </row>
    <row r="9" spans="1:9" ht="15.5" customHeight="1">
      <c r="A9" s="6">
        <v>2017</v>
      </c>
      <c r="B9" s="8">
        <v>1354195680</v>
      </c>
      <c r="C9" s="9">
        <v>3062579</v>
      </c>
      <c r="D9" s="14">
        <v>7.7299999999999994E-2</v>
      </c>
      <c r="E9" s="17">
        <v>0.253</v>
      </c>
      <c r="G9" s="20"/>
      <c r="H9" s="20"/>
      <c r="I9" s="20"/>
    </row>
    <row r="10" spans="1:9" ht="15.5">
      <c r="A10" s="5">
        <v>2016</v>
      </c>
      <c r="B10" s="7">
        <v>1338636340</v>
      </c>
      <c r="C10" s="10">
        <v>2975711</v>
      </c>
      <c r="D10" s="13">
        <v>7.8399999999999997E-2</v>
      </c>
      <c r="E10" s="16">
        <v>0.24360000000000001</v>
      </c>
      <c r="G10" s="34" t="s">
        <v>67</v>
      </c>
      <c r="H10" s="30"/>
      <c r="I10" s="31"/>
    </row>
    <row r="11" spans="1:9" ht="15.5">
      <c r="A11" s="6">
        <v>2015</v>
      </c>
      <c r="B11" s="8">
        <v>1322866505</v>
      </c>
      <c r="C11" s="9">
        <v>2949400</v>
      </c>
      <c r="D11" s="14">
        <v>7.9200000000000007E-2</v>
      </c>
      <c r="E11" s="17">
        <v>0.23369999999999999</v>
      </c>
      <c r="G11" s="23" t="s">
        <v>65</v>
      </c>
      <c r="H11" s="24" t="s">
        <v>68</v>
      </c>
      <c r="I11" s="24" t="s">
        <v>55</v>
      </c>
    </row>
    <row r="12" spans="1:9" ht="15.5">
      <c r="A12" s="5">
        <v>2014</v>
      </c>
      <c r="B12" s="7">
        <v>1307246509</v>
      </c>
      <c r="C12" s="10">
        <v>2851563</v>
      </c>
      <c r="D12" s="13">
        <v>7.9799999999999996E-2</v>
      </c>
      <c r="E12" s="16">
        <v>0.22409999999999999</v>
      </c>
      <c r="G12" s="21">
        <f>C5</f>
        <v>3663360</v>
      </c>
      <c r="H12" s="26">
        <v>0.83799999999999997</v>
      </c>
      <c r="I12" s="25">
        <v>2019</v>
      </c>
    </row>
    <row r="13" spans="1:9" ht="15.5">
      <c r="A13" s="6">
        <v>2013</v>
      </c>
      <c r="B13" s="8">
        <v>1291132063</v>
      </c>
      <c r="C13" s="9">
        <v>2647722</v>
      </c>
      <c r="D13" s="14">
        <v>8.0399999999999999E-2</v>
      </c>
      <c r="E13" s="17">
        <v>0.21460000000000001</v>
      </c>
      <c r="G13" s="21">
        <f>C6</f>
        <v>4254356</v>
      </c>
      <c r="H13" s="28">
        <v>0.82599999999999996</v>
      </c>
      <c r="I13" s="27">
        <v>2018</v>
      </c>
    </row>
    <row r="14" spans="1:9" ht="15.5">
      <c r="A14" s="5">
        <v>2012</v>
      </c>
      <c r="B14" s="7">
        <v>1274487215</v>
      </c>
      <c r="C14" s="10">
        <v>2387188</v>
      </c>
      <c r="D14" s="13">
        <v>8.1000000000000003E-2</v>
      </c>
      <c r="E14" s="16">
        <v>0.20549999999999999</v>
      </c>
      <c r="G14" s="21">
        <f>C7</f>
        <v>3225597</v>
      </c>
      <c r="H14" s="26">
        <v>0.85299999999999998</v>
      </c>
      <c r="I14" s="25">
        <v>2017</v>
      </c>
    </row>
    <row r="15" spans="1:9" ht="15.5">
      <c r="A15" s="6">
        <v>2011</v>
      </c>
      <c r="B15" s="8">
        <v>1257621191</v>
      </c>
      <c r="C15" s="11">
        <v>2325575</v>
      </c>
      <c r="D15" s="14">
        <v>8.1699999999999995E-2</v>
      </c>
      <c r="E15" s="17">
        <v>0.1968</v>
      </c>
      <c r="G15" s="21">
        <f>C8</f>
        <v>3132955</v>
      </c>
      <c r="H15" s="28">
        <v>0.88700000000000001</v>
      </c>
      <c r="I15" s="27">
        <v>2016</v>
      </c>
    </row>
    <row r="16" spans="1:9" ht="15.5">
      <c r="A16" s="5">
        <v>2010</v>
      </c>
      <c r="B16" s="7">
        <v>1240613620</v>
      </c>
      <c r="C16" s="11">
        <v>2224831</v>
      </c>
      <c r="D16" s="13">
        <v>8.3199999999999996E-2</v>
      </c>
      <c r="E16" s="16">
        <v>0.18959999999999999</v>
      </c>
      <c r="G16" s="21">
        <f>C9</f>
        <v>3062579</v>
      </c>
      <c r="H16" s="26">
        <v>0.88900000000000001</v>
      </c>
      <c r="I16" s="25">
        <v>2015</v>
      </c>
    </row>
    <row r="17" spans="1:9" ht="15.5">
      <c r="A17" s="6">
        <v>2009</v>
      </c>
      <c r="B17" s="8">
        <v>1223640160</v>
      </c>
      <c r="C17" s="11">
        <v>2121345</v>
      </c>
      <c r="D17" s="14">
        <v>8.3799999999999999E-2</v>
      </c>
      <c r="E17" s="17">
        <v>0.18099999999999999</v>
      </c>
      <c r="G17" s="21">
        <f>C13</f>
        <v>2647722</v>
      </c>
      <c r="H17" s="28">
        <v>0.89900000000000002</v>
      </c>
      <c r="I17" s="27">
        <v>2011</v>
      </c>
    </row>
    <row r="18" spans="1:9" ht="15.5">
      <c r="A18" s="5">
        <v>2008</v>
      </c>
      <c r="B18" s="7">
        <v>1206734806</v>
      </c>
      <c r="C18" s="11">
        <v>2093379</v>
      </c>
      <c r="D18" s="13">
        <v>8.3500000000000005E-2</v>
      </c>
      <c r="E18" s="16">
        <v>0.1714</v>
      </c>
      <c r="G18" s="21">
        <f>C15</f>
        <v>2325575</v>
      </c>
      <c r="H18" s="26">
        <v>0.92900000000000005</v>
      </c>
      <c r="I18" s="25">
        <v>2009</v>
      </c>
    </row>
    <row r="19" spans="1:9" ht="15.5">
      <c r="A19" s="6">
        <v>2007</v>
      </c>
      <c r="B19" s="8">
        <v>1189691809</v>
      </c>
      <c r="C19" s="11">
        <v>1989673</v>
      </c>
      <c r="D19" s="14">
        <v>8.5400000000000004E-2</v>
      </c>
      <c r="E19" s="17">
        <v>0.16500000000000001</v>
      </c>
      <c r="G19" s="22">
        <f>C20</f>
        <v>1878293</v>
      </c>
      <c r="H19" s="28">
        <v>0.94399999999999995</v>
      </c>
      <c r="I19" s="27">
        <v>2004</v>
      </c>
    </row>
    <row r="20" spans="1:9" ht="15.5">
      <c r="A20" s="5">
        <v>2006</v>
      </c>
      <c r="B20" s="7">
        <v>1172373788</v>
      </c>
      <c r="C20" s="11">
        <v>1878293</v>
      </c>
      <c r="D20" s="13">
        <v>8.6300000000000002E-2</v>
      </c>
      <c r="E20" s="16">
        <v>0.15740000000000001</v>
      </c>
      <c r="G20" s="21">
        <f>C31</f>
        <v>1695696</v>
      </c>
      <c r="H20" s="26">
        <v>0.96599999999999997</v>
      </c>
      <c r="I20" s="25">
        <v>1993</v>
      </c>
    </row>
    <row r="21" spans="1:9" ht="15.5">
      <c r="A21" s="6">
        <v>2005</v>
      </c>
      <c r="B21" s="8">
        <v>1154638713</v>
      </c>
      <c r="C21" s="11">
        <v>1822602</v>
      </c>
      <c r="D21" s="14">
        <v>8.6999999999999994E-2</v>
      </c>
      <c r="E21" s="17">
        <v>0.14990000000000001</v>
      </c>
    </row>
    <row r="22" spans="1:9" ht="15.5">
      <c r="A22" s="5">
        <v>2004</v>
      </c>
      <c r="B22" s="7">
        <v>1136264583</v>
      </c>
      <c r="C22" s="11">
        <v>1832015</v>
      </c>
      <c r="D22" s="15">
        <v>8.5300000000000001E-2</v>
      </c>
      <c r="E22" s="16">
        <v>0.14710000000000001</v>
      </c>
    </row>
    <row r="23" spans="1:9" ht="15.5">
      <c r="A23" s="6">
        <v>2003</v>
      </c>
      <c r="B23" s="8">
        <v>1117415123</v>
      </c>
      <c r="C23" s="11">
        <v>1716120</v>
      </c>
      <c r="D23" s="14">
        <v>8.3599999999999994E-2</v>
      </c>
      <c r="E23" s="17">
        <v>0.14419999999999999</v>
      </c>
    </row>
    <row r="24" spans="1:9" ht="15.5">
      <c r="A24" s="5">
        <v>2002</v>
      </c>
      <c r="B24" s="7">
        <v>1098313039</v>
      </c>
      <c r="C24" s="11">
        <v>1780330</v>
      </c>
      <c r="D24" s="13">
        <v>8.1000000000000003E-2</v>
      </c>
      <c r="E24" s="16">
        <v>0.14050000000000001</v>
      </c>
    </row>
    <row r="25" spans="1:9" ht="15.5">
      <c r="A25" s="6">
        <v>2001</v>
      </c>
      <c r="B25" s="8">
        <v>1078970907</v>
      </c>
      <c r="C25" s="11">
        <v>1769308</v>
      </c>
      <c r="D25" s="14">
        <v>7.9600000000000004E-2</v>
      </c>
      <c r="E25" s="17">
        <v>0.13800000000000001</v>
      </c>
    </row>
    <row r="26" spans="1:9" ht="15.5">
      <c r="A26" s="5">
        <v>2000</v>
      </c>
      <c r="B26" s="7">
        <v>1059633675</v>
      </c>
      <c r="C26" s="11">
        <v>1771084</v>
      </c>
      <c r="D26" s="13">
        <v>7.7700000000000005E-2</v>
      </c>
      <c r="E26" s="16">
        <v>0.13500000000000001</v>
      </c>
    </row>
    <row r="27" spans="1:9" ht="15.5">
      <c r="A27" s="6">
        <v>1999</v>
      </c>
      <c r="B27" s="8">
        <v>1040500054</v>
      </c>
      <c r="C27" s="11">
        <v>1764629</v>
      </c>
      <c r="D27" s="14">
        <v>7.7100000000000002E-2</v>
      </c>
      <c r="E27" s="17">
        <v>0.1333</v>
      </c>
    </row>
    <row r="28" spans="1:9" ht="15.5">
      <c r="A28" s="5">
        <v>1998</v>
      </c>
      <c r="B28" s="7">
        <v>1021434576</v>
      </c>
      <c r="C28" s="11">
        <v>1778815</v>
      </c>
      <c r="D28" s="13">
        <v>7.4899999999999994E-2</v>
      </c>
      <c r="E28" s="16">
        <v>0.1298</v>
      </c>
    </row>
    <row r="29" spans="1:9" ht="21">
      <c r="A29" s="6">
        <v>1997</v>
      </c>
      <c r="B29" s="8">
        <v>1002335230</v>
      </c>
      <c r="C29" s="11">
        <v>1719820</v>
      </c>
      <c r="D29" s="14">
        <v>7.2800000000000004E-2</v>
      </c>
      <c r="E29" s="17">
        <v>0.1265</v>
      </c>
      <c r="G29" s="39" t="s">
        <v>63</v>
      </c>
      <c r="H29" s="40"/>
    </row>
    <row r="30" spans="1:9" ht="15.5">
      <c r="A30" s="5">
        <v>1996</v>
      </c>
      <c r="B30" s="7">
        <v>983281218</v>
      </c>
      <c r="C30" s="11">
        <v>1709576</v>
      </c>
      <c r="D30" s="13">
        <v>7.1800000000000003E-2</v>
      </c>
      <c r="E30" s="16">
        <v>0.1244</v>
      </c>
      <c r="G30" s="18" t="s">
        <v>59</v>
      </c>
      <c r="H30">
        <f>CORREL(C4:C35,D4:D35)</f>
        <v>0.28312702116180472</v>
      </c>
    </row>
    <row r="31" spans="1:9" ht="15.5">
      <c r="A31" s="6">
        <v>1995</v>
      </c>
      <c r="B31" s="8">
        <v>964279129</v>
      </c>
      <c r="C31" s="11">
        <v>1695696</v>
      </c>
      <c r="D31" s="14">
        <v>7.0099999999999996E-2</v>
      </c>
      <c r="E31" s="17">
        <v>0.1215</v>
      </c>
      <c r="G31" s="19" t="s">
        <v>60</v>
      </c>
      <c r="H31">
        <f>CORREL(I4:I8,H4:H8)</f>
        <v>0.98987776838925001</v>
      </c>
    </row>
    <row r="32" spans="1:9" ht="15.5">
      <c r="A32" s="5">
        <v>1994</v>
      </c>
      <c r="B32" s="7">
        <v>945261958</v>
      </c>
      <c r="C32" s="11">
        <v>1635251</v>
      </c>
      <c r="D32" s="13">
        <v>6.83E-2</v>
      </c>
      <c r="E32" s="16">
        <v>0.11849999999999999</v>
      </c>
      <c r="G32" s="18" t="s">
        <v>61</v>
      </c>
      <c r="H32">
        <f>CORREL(C4:C35,E4:E35)</f>
        <v>0.95566271898098853</v>
      </c>
    </row>
    <row r="33" spans="1:8" ht="15.5">
      <c r="A33" s="6">
        <v>1993</v>
      </c>
      <c r="B33" s="8">
        <v>926351297</v>
      </c>
      <c r="C33" s="11">
        <v>1629936</v>
      </c>
      <c r="D33" s="14">
        <v>6.8000000000000005E-2</v>
      </c>
      <c r="E33" s="17">
        <v>0.1186</v>
      </c>
      <c r="G33" s="19" t="s">
        <v>62</v>
      </c>
      <c r="H33">
        <f>CORREL(G12:G20,H12:H20)</f>
        <v>-0.97553034419880458</v>
      </c>
    </row>
    <row r="34" spans="1:8" ht="15.5">
      <c r="A34" s="5">
        <v>1992</v>
      </c>
      <c r="B34" s="7">
        <v>907574049</v>
      </c>
      <c r="C34" s="11">
        <v>1689341</v>
      </c>
      <c r="D34" s="13">
        <v>6.8199999999999997E-2</v>
      </c>
      <c r="E34" s="16">
        <v>0.1192</v>
      </c>
    </row>
    <row r="35" spans="1:8" ht="15.5">
      <c r="A35" s="6">
        <v>1991</v>
      </c>
      <c r="B35" s="8">
        <v>888941756</v>
      </c>
      <c r="C35" s="11">
        <v>1678375</v>
      </c>
      <c r="D35" s="14">
        <v>6.7400000000000002E-2</v>
      </c>
      <c r="E35" s="17">
        <v>0.1188</v>
      </c>
    </row>
    <row r="36" spans="1:8" ht="15.5">
      <c r="A36" s="5">
        <v>1990</v>
      </c>
      <c r="B36" s="7">
        <v>870452165</v>
      </c>
      <c r="C36" s="11">
        <v>1604449</v>
      </c>
    </row>
    <row r="37" spans="1:8" ht="15.5">
      <c r="A37" s="6">
        <v>1989</v>
      </c>
      <c r="B37" s="8">
        <v>852012673</v>
      </c>
    </row>
    <row r="38" spans="1:8" ht="15.5">
      <c r="A38" s="5">
        <v>1988</v>
      </c>
      <c r="B38" s="7">
        <v>833729681</v>
      </c>
    </row>
    <row r="39" spans="1:8" ht="15.5">
      <c r="A39" s="6">
        <v>1987</v>
      </c>
      <c r="B39" s="8">
        <v>815716125</v>
      </c>
    </row>
    <row r="40" spans="1:8" ht="15.5">
      <c r="A40" s="5">
        <v>1986</v>
      </c>
      <c r="B40" s="7">
        <v>797878993</v>
      </c>
    </row>
    <row r="41" spans="1:8" ht="15.5">
      <c r="A41" s="6">
        <v>1985</v>
      </c>
      <c r="B41" s="8">
        <v>780242084</v>
      </c>
    </row>
    <row r="42" spans="1:8" ht="15.5">
      <c r="A42" s="5">
        <v>1984</v>
      </c>
      <c r="B42" s="7">
        <v>762895156</v>
      </c>
    </row>
    <row r="43" spans="1:8" ht="15.5">
      <c r="A43" s="6">
        <v>1983</v>
      </c>
      <c r="B43" s="8">
        <v>745826546</v>
      </c>
    </row>
    <row r="44" spans="1:8" ht="15.5">
      <c r="A44" s="5">
        <v>1982</v>
      </c>
      <c r="B44" s="7">
        <v>729169466</v>
      </c>
    </row>
    <row r="45" spans="1:8" ht="15.5">
      <c r="A45" s="6">
        <v>1981</v>
      </c>
      <c r="B45" s="8">
        <v>712869298</v>
      </c>
    </row>
    <row r="46" spans="1:8" ht="15.5">
      <c r="A46" s="5">
        <v>1980</v>
      </c>
      <c r="B46" s="7">
        <v>696828385</v>
      </c>
    </row>
    <row r="47" spans="1:8" ht="15.5">
      <c r="A47" s="6">
        <v>1979</v>
      </c>
      <c r="B47" s="8">
        <v>681248383</v>
      </c>
    </row>
    <row r="48" spans="1:8" ht="15.5">
      <c r="A48" s="5">
        <v>1978</v>
      </c>
      <c r="B48" s="7">
        <v>666267760</v>
      </c>
    </row>
    <row r="49" spans="1:2" ht="15.5">
      <c r="A49" s="6">
        <v>1977</v>
      </c>
      <c r="B49" s="8">
        <v>651685628</v>
      </c>
    </row>
    <row r="50" spans="1:2" ht="15.5">
      <c r="A50" s="5">
        <v>1976</v>
      </c>
      <c r="B50" s="7">
        <v>637451448</v>
      </c>
    </row>
    <row r="51" spans="1:2" ht="15.5">
      <c r="A51" s="6">
        <v>1975</v>
      </c>
      <c r="B51" s="8">
        <v>623524219</v>
      </c>
    </row>
    <row r="52" spans="1:2" ht="15.5">
      <c r="A52" s="5">
        <v>1974</v>
      </c>
      <c r="B52" s="7">
        <v>609721951</v>
      </c>
    </row>
    <row r="53" spans="1:2" ht="15.5">
      <c r="A53" s="6">
        <v>1973</v>
      </c>
      <c r="B53" s="8">
        <v>596107483</v>
      </c>
    </row>
    <row r="54" spans="1:2" ht="15.5">
      <c r="A54" s="5">
        <v>1972</v>
      </c>
      <c r="B54" s="7">
        <v>582837973</v>
      </c>
    </row>
    <row r="55" spans="1:2" ht="15.5">
      <c r="A55" s="6">
        <v>1971</v>
      </c>
      <c r="B55" s="8">
        <v>569999178</v>
      </c>
    </row>
    <row r="56" spans="1:2" ht="15.5">
      <c r="A56" s="5">
        <v>1970</v>
      </c>
      <c r="B56" s="7">
        <v>557501301</v>
      </c>
    </row>
    <row r="57" spans="1:2" ht="15.5">
      <c r="A57" s="6">
        <v>1969</v>
      </c>
      <c r="B57" s="8">
        <v>545314670</v>
      </c>
    </row>
    <row r="58" spans="1:2" ht="15.5">
      <c r="A58" s="5">
        <v>1968</v>
      </c>
      <c r="B58" s="7">
        <v>533431909</v>
      </c>
    </row>
    <row r="59" spans="1:2" ht="15.5">
      <c r="A59" s="6">
        <v>1967</v>
      </c>
      <c r="B59" s="8">
        <v>521987069</v>
      </c>
    </row>
    <row r="60" spans="1:2" ht="15.5">
      <c r="A60" s="5">
        <v>1966</v>
      </c>
      <c r="B60" s="7">
        <v>510992617</v>
      </c>
    </row>
    <row r="61" spans="1:2" ht="15.5">
      <c r="A61" s="6">
        <v>1965</v>
      </c>
      <c r="B61" s="8">
        <v>500114346</v>
      </c>
    </row>
    <row r="62" spans="1:2" ht="15.5">
      <c r="A62" s="5">
        <v>1964</v>
      </c>
      <c r="B62" s="7">
        <v>489059309</v>
      </c>
    </row>
    <row r="63" spans="1:2" ht="15.5">
      <c r="A63" s="6">
        <v>1963</v>
      </c>
      <c r="B63" s="8">
        <v>477933619</v>
      </c>
    </row>
    <row r="64" spans="1:2" ht="15.5">
      <c r="A64" s="5">
        <v>1962</v>
      </c>
      <c r="B64" s="7">
        <v>467024193</v>
      </c>
    </row>
    <row r="65" spans="1:2" ht="15.5">
      <c r="A65" s="6">
        <v>1961</v>
      </c>
      <c r="B65" s="8">
        <v>456351876</v>
      </c>
    </row>
    <row r="66" spans="1:2" ht="15.5">
      <c r="A66" s="5">
        <v>1960</v>
      </c>
      <c r="B66" s="7">
        <v>445954579</v>
      </c>
    </row>
    <row r="67" spans="1:2" ht="15.5">
      <c r="A67" s="6">
        <v>1959</v>
      </c>
      <c r="B67" s="8">
        <v>435900352</v>
      </c>
    </row>
    <row r="68" spans="1:2" ht="15.5">
      <c r="A68" s="5">
        <v>1958</v>
      </c>
      <c r="B68" s="7">
        <v>426295763</v>
      </c>
    </row>
    <row r="69" spans="1:2" ht="15.5">
      <c r="A69" s="6">
        <v>1957</v>
      </c>
      <c r="B69" s="8">
        <v>416935399</v>
      </c>
    </row>
    <row r="70" spans="1:2" ht="15.5">
      <c r="A70" s="5">
        <v>1956</v>
      </c>
      <c r="B70" s="7">
        <v>407656597</v>
      </c>
    </row>
    <row r="71" spans="1:2" ht="15.5">
      <c r="A71" s="6">
        <v>1955</v>
      </c>
      <c r="B71" s="8">
        <v>398577992</v>
      </c>
    </row>
    <row r="72" spans="1:2" ht="15.5">
      <c r="A72" s="5">
        <v>1954</v>
      </c>
      <c r="B72" s="7">
        <v>389731406</v>
      </c>
    </row>
    <row r="73" spans="1:2" ht="15.5">
      <c r="A73" s="6">
        <v>1953</v>
      </c>
      <c r="B73" s="8">
        <v>381227705</v>
      </c>
    </row>
    <row r="74" spans="1:2" ht="15.5">
      <c r="A74" s="5">
        <v>1952</v>
      </c>
      <c r="B74" s="7">
        <v>372997188</v>
      </c>
    </row>
    <row r="75" spans="1:2" ht="15.5">
      <c r="A75" s="6">
        <v>1951</v>
      </c>
      <c r="B75" s="8">
        <v>364922360</v>
      </c>
    </row>
    <row r="76" spans="1:2" ht="15.5">
      <c r="A76" s="5">
        <v>1950</v>
      </c>
      <c r="B76" s="7">
        <v>357021100</v>
      </c>
    </row>
  </sheetData>
  <mergeCells count="1">
    <mergeCell ref="G29:H29"/>
  </mergeCells>
  <conditionalFormatting sqref="G4:I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ignoredErrors>
    <ignoredError sqref="H32 H3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YAER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2024-02-21T15:45:33Z</dcterms:created>
  <dcterms:modified xsi:type="dcterms:W3CDTF">2024-06-24T15:10:31Z</dcterms:modified>
</cp:coreProperties>
</file>